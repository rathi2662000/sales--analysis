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aa1bafaca7fb7c8d/Documents/"/>
    </mc:Choice>
  </mc:AlternateContent>
  <xr:revisionPtr revIDLastSave="0" documentId="8_{C2A5C12C-59C4-4E28-9483-A420399E4A2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taset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" i="2"/>
  <c r="J36" i="2"/>
</calcChain>
</file>

<file path=xl/sharedStrings.xml><?xml version="1.0" encoding="utf-8"?>
<sst xmlns="http://schemas.openxmlformats.org/spreadsheetml/2006/main" count="174" uniqueCount="105">
  <si>
    <t>Manufacturing Date</t>
  </si>
  <si>
    <t>Country Code</t>
  </si>
  <si>
    <t>Product Name</t>
  </si>
  <si>
    <t>Brand Name</t>
  </si>
  <si>
    <t>Price $</t>
  </si>
  <si>
    <t>Brand</t>
  </si>
  <si>
    <t>Quantity</t>
  </si>
  <si>
    <t>Category</t>
  </si>
  <si>
    <t>Product Brand</t>
  </si>
  <si>
    <t>US</t>
  </si>
  <si>
    <t>Laptop</t>
  </si>
  <si>
    <t>Dell</t>
  </si>
  <si>
    <t>Electronics</t>
  </si>
  <si>
    <t>Dell Laptop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</si>
  <si>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</si>
  <si>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</si>
  <si>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</si>
  <si>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</si>
  <si>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</si>
  <si>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</si>
  <si>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</si>
  <si>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</si>
  <si>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</si>
  <si>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</si>
  <si>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Outdoor</t>
  </si>
  <si>
    <t>UK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</si>
  <si>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</si>
  <si>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</si>
  <si>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</si>
  <si>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</si>
  <si>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</si>
  <si>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</si>
  <si>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</si>
  <si>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</si>
  <si>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</si>
  <si>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</si>
  <si>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IN</t>
  </si>
  <si>
    <t>HP</t>
  </si>
  <si>
    <t>AU</t>
  </si>
  <si>
    <t>DE</t>
  </si>
  <si>
    <t>Nespresso</t>
  </si>
  <si>
    <t>CA</t>
  </si>
  <si>
    <t>Smartwatch</t>
  </si>
  <si>
    <t>Fitbit</t>
  </si>
  <si>
    <t>ES</t>
  </si>
  <si>
    <t>Bose</t>
  </si>
  <si>
    <t>Laptop Bag</t>
  </si>
  <si>
    <t>Samsonite</t>
  </si>
  <si>
    <t>Accessories</t>
  </si>
  <si>
    <t>CN</t>
  </si>
  <si>
    <t>Huawei</t>
  </si>
  <si>
    <t>IT</t>
  </si>
  <si>
    <t>Asus</t>
  </si>
  <si>
    <t>Sunglasses</t>
  </si>
  <si>
    <t>Oakley</t>
  </si>
  <si>
    <t>Camping Tent</t>
  </si>
  <si>
    <t>Coleman</t>
  </si>
  <si>
    <t>RU</t>
  </si>
  <si>
    <t>Camera</t>
  </si>
  <si>
    <t>Nikon</t>
  </si>
  <si>
    <t>Microwave</t>
  </si>
  <si>
    <t>Panasonic</t>
  </si>
  <si>
    <t>BR</t>
  </si>
  <si>
    <t>Fitness Tracker</t>
  </si>
  <si>
    <t>Xiaomi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</si>
  <si>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</si>
  <si>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</si>
  <si>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</si>
  <si>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</si>
  <si>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</si>
  <si>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</si>
  <si>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</si>
  <si>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</si>
  <si>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</si>
  <si>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</si>
  <si>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FR</t>
  </si>
  <si>
    <t>Watch</t>
  </si>
  <si>
    <t>Casio</t>
  </si>
  <si>
    <t>DATA CLEANING REPORT -PART -2</t>
  </si>
  <si>
    <t>Student Task :</t>
  </si>
  <si>
    <t>E-commerce sales data was cleaned</t>
  </si>
  <si>
    <t>Step : 1 Price column(F)-Currency Formatting</t>
  </si>
  <si>
    <t>Tool Used : Data-&gt; Text to Colums-&gt;</t>
  </si>
  <si>
    <t>Formar Cells-&gt; Currency -&gt; $</t>
  </si>
  <si>
    <t>Purpose: To show price in $ format</t>
  </si>
  <si>
    <t>Result: Values changed from 1000 to $1,000.00</t>
  </si>
  <si>
    <t>Step : 2 Quantity and Category Spilt (G &amp; H)</t>
  </si>
  <si>
    <t>Delimited-&gt; Space</t>
  </si>
  <si>
    <t>Purpose: Column G had combined data  "30 Electronics"</t>
  </si>
  <si>
    <t xml:space="preserve">Result: Spilt into G=30 (Quantity) and </t>
  </si>
  <si>
    <t>H=Electronics (Categroy)</t>
  </si>
  <si>
    <t>Step : 3 Product Brand (J)</t>
  </si>
  <si>
    <t>Formula Used =CONCAT(Brand," ",Product)</t>
  </si>
  <si>
    <t>Purpose: To combine brand and  product name.</t>
  </si>
  <si>
    <t>Example: Dell + Laptop =Dell Laptop</t>
  </si>
  <si>
    <t>Step : 4 Remove Duplicates</t>
  </si>
  <si>
    <t>Tool Used : Data-&gt;Remove Duplicates -&gt; My data has headers</t>
  </si>
  <si>
    <t>Result: 963 duplicates values found and removed; 37</t>
  </si>
  <si>
    <t>unique values remain.</t>
  </si>
  <si>
    <t>Original Count: 1000 rows, Final Count:37 rows</t>
  </si>
  <si>
    <t>Step : 5 Manufacturing Data  (A) -Data Formatting</t>
  </si>
  <si>
    <t>Tools Used : Format Cells -&gt; Custom -&gt; dd-mm-yyyy</t>
  </si>
  <si>
    <t>Purpose: To Standardize to DD-MM-YYYY format</t>
  </si>
  <si>
    <t>Result: 1/28/2026 changed to 28-10-2026</t>
  </si>
  <si>
    <t>Conclusion: Data is now clean and ready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</si>
</sst>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dd\-mm\-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9"/>
      <color rgb="FF000000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6" fontId="2" fillId="0" borderId="0" xfId="0" applyNumberFormat="1" applyFont="1"/>
    <xf numFmtId="0" fontId="6" fillId="0" borderId="0" xfId="0" applyFon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99"/>
  <sheetViews>
    <sheetView workbookViewId="0">
      <selection sqref="A1:A1048576"/>
    </sheetView>
  </sheetViews>
  <sheetFormatPr defaultColWidth="12.7109375" defaultRowHeight="15" customHeight="1"/>
  <cols>
    <col min="1" max="1" width="16.85546875" style="11" customWidth="1"/>
    <col min="2" max="5" width="12.7109375" customWidth="1"/>
    <col min="6" max="6" width="22" customWidth="1"/>
    <col min="7" max="8" width="14.28515625" customWidth="1"/>
    <col min="9" max="9" width="12.7109375" customWidth="1"/>
    <col min="10" max="10" width="20.7109375" customWidth="1"/>
  </cols>
  <sheetData>
    <row r="1" spans="1:19" ht="15.75" customHeight="1">
      <c r="A1" s="9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/>
      <c r="I1" s="1" t="s">
        <v>7</v>
      </c>
      <c r="J1" s="6" t="s">
        <v>8</v>
      </c>
    </row>
    <row r="2" spans="1:19" ht="15.75" customHeight="1">
      <c r="A2" s="10">
        <v>46050</v>
      </c>
      <c r="B2" s="2" t="s">
        <v>9</v>
      </c>
      <c r="C2" s="2" t="s">
        <v>10</v>
      </c>
      <c r="D2" s="2" t="s">
        <v>11</v>
      </c>
      <c r="E2" s="7">
        <v>1000</v>
      </c>
      <c r="F2" s="7" t="str">
        <f>D2 &amp; " " &amp; C2</f>
        <v>Dell Laptop</v>
      </c>
      <c r="G2" s="2">
        <v>30</v>
      </c>
      <c r="H2" s="2"/>
      <c r="I2" t="s">
        <v>12</v>
      </c>
      <c r="J2" s="2" t="s">
        <v>13</v>
      </c>
    </row>
    <row r="3" spans="1:19" ht="15.75" customHeight="1">
      <c r="A3" s="10">
        <v>46068</v>
      </c>
      <c r="B3" s="2" t="s">
        <v>9</v>
      </c>
      <c r="C3" s="3" t="s">
        <v>14</v>
      </c>
      <c r="D3" s="3" t="s">
        <v>15</v>
      </c>
      <c r="E3" s="7">
        <v>80</v>
      </c>
      <c r="F3" s="7" t="str">
        <f t="shared" ref="F3:F35" si="0">D3 &amp; " " &amp; C3</f>
        <v>Nike Sneakers</v>
      </c>
      <c r="G3" s="3">
        <v>15</v>
      </c>
      <c r="H3" s="3"/>
      <c r="I3" t="s">
        <v>16</v>
      </c>
      <c r="J3" s="2" t="str">
        <f>D3 &amp; " " &amp; C3</f>
        <v>Nike Sneakers</v>
      </c>
      <c r="K3" s="4"/>
      <c r="L3" s="2"/>
      <c r="M3" s="2"/>
      <c r="N3" s="2"/>
      <c r="O3" s="2"/>
      <c r="P3" s="2"/>
      <c r="Q3" s="2"/>
      <c r="R3" s="2"/>
    </row>
    <row r="4" spans="1:19" ht="15.75" customHeight="1">
      <c r="A4" s="10">
        <v>46084</v>
      </c>
      <c r="B4" s="2" t="s">
        <v>9</v>
      </c>
      <c r="C4" s="2" t="s">
        <v>17</v>
      </c>
      <c r="D4" s="2" t="s">
        <v>18</v>
      </c>
      <c r="E4" s="7">
        <v>130</v>
      </c>
      <c r="F4" s="7" t="str">
        <f t="shared" si="0"/>
        <v>Keurig Coffee Maker</v>
      </c>
      <c r="G4" s="2">
        <v>40</v>
      </c>
      <c r="H4" s="2"/>
      <c r="I4" s="2" t="s">
        <v>19</v>
      </c>
      <c r="J4" s="2" t="str">
        <f>D4 &amp; " " &amp; C4</f>
        <v>Keurig Coffee Maker</v>
      </c>
      <c r="L4" s="2"/>
      <c r="M4" s="5"/>
      <c r="N4" s="2"/>
      <c r="O4" s="2"/>
      <c r="P4" s="2"/>
      <c r="Q4" s="2"/>
      <c r="R4" s="2"/>
      <c r="S4" s="2"/>
    </row>
    <row r="5" spans="1:19" ht="15.75" customHeight="1">
      <c r="A5" s="10">
        <v>46123</v>
      </c>
      <c r="B5" s="2" t="s">
        <v>9</v>
      </c>
      <c r="C5" s="3" t="s">
        <v>20</v>
      </c>
      <c r="D5" s="3" t="s">
        <v>21</v>
      </c>
      <c r="E5" s="7">
        <v>900</v>
      </c>
      <c r="F5" s="7" t="str">
        <f t="shared" si="0"/>
        <v>Samsung Smartphone</v>
      </c>
      <c r="G5" s="3">
        <v>25</v>
      </c>
      <c r="H5" s="3"/>
      <c r="I5" s="3" t="s">
        <v>12</v>
      </c>
      <c r="J5" s="2" t="str">
        <f>D5 &amp; " " &amp; C5</f>
        <v>Samsung Smartphone</v>
      </c>
      <c r="L5" s="2"/>
      <c r="M5" s="5"/>
      <c r="N5" s="2"/>
      <c r="O5" s="2"/>
      <c r="P5" s="2"/>
      <c r="Q5" s="2"/>
      <c r="R5" s="2"/>
      <c r="S5" s="2"/>
    </row>
    <row r="6" spans="1:19" ht="15.75" customHeight="1">
      <c r="A6" s="10">
        <v>46164</v>
      </c>
      <c r="B6" s="2" t="s">
        <v>9</v>
      </c>
      <c r="C6" s="2" t="s">
        <v>22</v>
      </c>
      <c r="D6" s="2" t="s">
        <v>23</v>
      </c>
      <c r="E6" s="7">
        <v>70</v>
      </c>
      <c r="F6" s="7" t="str">
        <f t="shared" si="0"/>
        <v>North Face Backpack</v>
      </c>
      <c r="G6" s="2">
        <v>20</v>
      </c>
      <c r="H6" s="2"/>
      <c r="I6" s="2" t="s">
        <v>24</v>
      </c>
      <c r="J6" s="2" t="str">
        <f>D6 &amp; " " &amp; C6</f>
        <v>North Face Backpack</v>
      </c>
    </row>
    <row r="7" spans="1:19" ht="15.75" customHeight="1">
      <c r="A7" s="10">
        <v>46180</v>
      </c>
      <c r="B7" s="2" t="s">
        <v>25</v>
      </c>
      <c r="C7" s="3" t="s">
        <v>26</v>
      </c>
      <c r="D7" s="3" t="s">
        <v>27</v>
      </c>
      <c r="E7" s="7">
        <v>120</v>
      </c>
      <c r="F7" s="7" t="str">
        <f t="shared" si="0"/>
        <v>Sony Headphones</v>
      </c>
      <c r="G7" s="3">
        <v>45</v>
      </c>
      <c r="H7" s="3"/>
      <c r="I7" s="3" t="s">
        <v>12</v>
      </c>
      <c r="J7" s="2" t="str">
        <f>D7 &amp; " " &amp; C7</f>
        <v>Sony Headphones</v>
      </c>
    </row>
    <row r="8" spans="1:19" ht="15.75" customHeight="1">
      <c r="A8" s="10">
        <v>46222</v>
      </c>
      <c r="B8" s="2" t="s">
        <v>25</v>
      </c>
      <c r="C8" s="2" t="s">
        <v>28</v>
      </c>
      <c r="D8" s="2" t="s">
        <v>29</v>
      </c>
      <c r="E8" s="7">
        <v>30</v>
      </c>
      <c r="F8" s="7" t="str">
        <f t="shared" si="0"/>
        <v>Adidas T-shirt</v>
      </c>
      <c r="G8" s="2">
        <v>5</v>
      </c>
      <c r="H8" s="2"/>
      <c r="I8" s="2" t="s">
        <v>16</v>
      </c>
      <c r="J8" s="2" t="str">
        <f>D8 &amp; " " &amp; C8</f>
        <v>Adidas T-shirt</v>
      </c>
    </row>
    <row r="9" spans="1:19" ht="15.75" customHeight="1">
      <c r="A9" s="10">
        <v>46257</v>
      </c>
      <c r="B9" s="2" t="s">
        <v>25</v>
      </c>
      <c r="C9" s="3" t="s">
        <v>30</v>
      </c>
      <c r="D9" s="3" t="s">
        <v>31</v>
      </c>
      <c r="E9" s="7">
        <v>90</v>
      </c>
      <c r="F9" s="7" t="str">
        <f t="shared" si="0"/>
        <v>Ninja Blender</v>
      </c>
      <c r="G9" s="3">
        <v>35</v>
      </c>
      <c r="H9" s="3"/>
      <c r="I9" s="3" t="s">
        <v>19</v>
      </c>
      <c r="J9" s="2" t="str">
        <f>D9 &amp; " " &amp; C9</f>
        <v>Ninja Blender</v>
      </c>
    </row>
    <row r="10" spans="1:19" ht="15.75" customHeight="1">
      <c r="A10" s="10">
        <v>46270</v>
      </c>
      <c r="B10" s="2" t="s">
        <v>25</v>
      </c>
      <c r="C10" s="2" t="s">
        <v>32</v>
      </c>
      <c r="D10" s="2" t="s">
        <v>33</v>
      </c>
      <c r="E10" s="7">
        <v>500</v>
      </c>
      <c r="F10" s="7" t="str">
        <f t="shared" si="0"/>
        <v>Apple Tablet</v>
      </c>
      <c r="G10" s="2">
        <v>50</v>
      </c>
      <c r="H10" s="2"/>
      <c r="I10" s="2" t="s">
        <v>12</v>
      </c>
      <c r="J10" s="2" t="str">
        <f>D10 &amp; " " &amp; C10</f>
        <v>Apple Tablet</v>
      </c>
    </row>
    <row r="11" spans="1:19" ht="15.75" customHeight="1">
      <c r="A11" s="10">
        <v>46309</v>
      </c>
      <c r="B11" s="2" t="s">
        <v>25</v>
      </c>
      <c r="C11" s="3" t="s">
        <v>34</v>
      </c>
      <c r="D11" s="3" t="s">
        <v>35</v>
      </c>
      <c r="E11" s="7">
        <v>130</v>
      </c>
      <c r="F11" s="7" t="str">
        <f t="shared" si="0"/>
        <v>Timberland Hiking Boots</v>
      </c>
      <c r="G11" s="3">
        <v>10</v>
      </c>
      <c r="H11" s="3"/>
      <c r="I11" s="3" t="s">
        <v>24</v>
      </c>
      <c r="J11" s="2" t="str">
        <f>D11 &amp; " " &amp; C11</f>
        <v>Timberland Hiking Boots</v>
      </c>
    </row>
    <row r="12" spans="1:19" ht="15.75" customHeight="1">
      <c r="A12" s="10">
        <v>46190</v>
      </c>
      <c r="B12" s="2" t="s">
        <v>36</v>
      </c>
      <c r="C12" s="2" t="s">
        <v>10</v>
      </c>
      <c r="D12" s="2" t="s">
        <v>37</v>
      </c>
      <c r="E12" s="7">
        <v>950</v>
      </c>
      <c r="F12" s="7" t="str">
        <f t="shared" si="0"/>
        <v>HP Laptop</v>
      </c>
      <c r="G12" s="2">
        <v>25</v>
      </c>
      <c r="H12" s="2"/>
      <c r="I12" s="2" t="s">
        <v>12</v>
      </c>
      <c r="J12" s="2" t="str">
        <f>D12 &amp; " " &amp; C12</f>
        <v>HP Laptop</v>
      </c>
    </row>
    <row r="13" spans="1:19" ht="15.75" customHeight="1">
      <c r="A13" s="10">
        <v>46351</v>
      </c>
      <c r="B13" s="2" t="s">
        <v>38</v>
      </c>
      <c r="C13" s="3" t="s">
        <v>14</v>
      </c>
      <c r="D13" s="3" t="s">
        <v>29</v>
      </c>
      <c r="E13" s="7">
        <v>90</v>
      </c>
      <c r="F13" s="7" t="str">
        <f t="shared" si="0"/>
        <v>Adidas Sneakers</v>
      </c>
      <c r="G13" s="3">
        <v>40</v>
      </c>
      <c r="H13" s="3"/>
      <c r="I13" s="3" t="s">
        <v>16</v>
      </c>
      <c r="J13" s="2" t="str">
        <f>D13 &amp; " " &amp; C13</f>
        <v>Adidas Sneakers</v>
      </c>
    </row>
    <row r="14" spans="1:19" ht="15.75" customHeight="1">
      <c r="A14" s="10">
        <v>46370</v>
      </c>
      <c r="B14" s="2" t="s">
        <v>39</v>
      </c>
      <c r="C14" s="2" t="s">
        <v>17</v>
      </c>
      <c r="D14" s="2" t="s">
        <v>40</v>
      </c>
      <c r="E14" s="7">
        <v>500</v>
      </c>
      <c r="F14" s="7" t="str">
        <f t="shared" si="0"/>
        <v>Nespresso Coffee Maker</v>
      </c>
      <c r="G14" s="2">
        <v>35</v>
      </c>
      <c r="H14" s="2"/>
      <c r="I14" s="2" t="s">
        <v>19</v>
      </c>
      <c r="J14" s="2" t="str">
        <f>D14 &amp; " " &amp; C14</f>
        <v>Nespresso Coffee Maker</v>
      </c>
    </row>
    <row r="15" spans="1:19" ht="15.75" customHeight="1">
      <c r="A15" s="10">
        <v>46071</v>
      </c>
      <c r="B15" s="2" t="s">
        <v>41</v>
      </c>
      <c r="C15" s="3" t="s">
        <v>42</v>
      </c>
      <c r="D15" s="3" t="s">
        <v>43</v>
      </c>
      <c r="E15" s="7">
        <v>130</v>
      </c>
      <c r="F15" s="7" t="str">
        <f t="shared" si="0"/>
        <v>Fitbit Smartwatch</v>
      </c>
      <c r="G15" s="3">
        <v>15</v>
      </c>
      <c r="H15" s="3"/>
      <c r="I15" s="3" t="s">
        <v>12</v>
      </c>
      <c r="J15" s="2" t="str">
        <f>D15 &amp; " " &amp; C15</f>
        <v>Fitbit Smartwatch</v>
      </c>
    </row>
    <row r="16" spans="1:19" ht="15.75" customHeight="1">
      <c r="A16" s="10">
        <v>46128</v>
      </c>
      <c r="B16" s="2" t="s">
        <v>44</v>
      </c>
      <c r="C16" s="2" t="s">
        <v>26</v>
      </c>
      <c r="D16" s="2" t="s">
        <v>45</v>
      </c>
      <c r="E16" s="7">
        <v>950</v>
      </c>
      <c r="F16" s="7" t="str">
        <f t="shared" si="0"/>
        <v>Bose Headphones</v>
      </c>
      <c r="G16" s="2">
        <v>20</v>
      </c>
      <c r="H16" s="2"/>
      <c r="I16" s="2" t="s">
        <v>12</v>
      </c>
      <c r="J16" s="2" t="str">
        <f>D16 &amp; " " &amp; C16</f>
        <v>Bose Headphones</v>
      </c>
    </row>
    <row r="17" spans="1:10" ht="15.75" customHeight="1">
      <c r="A17" s="10">
        <v>46255</v>
      </c>
      <c r="B17" s="2" t="s">
        <v>41</v>
      </c>
      <c r="C17" s="3" t="s">
        <v>46</v>
      </c>
      <c r="D17" s="3" t="s">
        <v>47</v>
      </c>
      <c r="E17" s="7">
        <v>90</v>
      </c>
      <c r="F17" s="7" t="str">
        <f t="shared" si="0"/>
        <v>Samsonite Laptop Bag</v>
      </c>
      <c r="G17" s="3">
        <v>35</v>
      </c>
      <c r="H17" s="3"/>
      <c r="I17" s="3" t="s">
        <v>48</v>
      </c>
      <c r="J17" s="2" t="str">
        <f>D17 &amp; " " &amp; C17</f>
        <v>Samsonite Laptop Bag</v>
      </c>
    </row>
    <row r="18" spans="1:10" ht="15.75" customHeight="1">
      <c r="A18" s="10">
        <v>46254</v>
      </c>
      <c r="B18" s="2" t="s">
        <v>49</v>
      </c>
      <c r="C18" s="2" t="s">
        <v>42</v>
      </c>
      <c r="D18" s="2" t="s">
        <v>50</v>
      </c>
      <c r="E18" s="7">
        <v>120</v>
      </c>
      <c r="F18" s="7" t="str">
        <f t="shared" si="0"/>
        <v>Huawei Smartwatch</v>
      </c>
      <c r="G18" s="2">
        <v>15</v>
      </c>
      <c r="H18" s="2"/>
      <c r="I18" s="2" t="s">
        <v>12</v>
      </c>
      <c r="J18" s="2" t="str">
        <f>D18 &amp; " " &amp; C18</f>
        <v>Huawei Smartwatch</v>
      </c>
    </row>
    <row r="19" spans="1:10" ht="15.75" customHeight="1">
      <c r="A19" s="10">
        <v>46049</v>
      </c>
      <c r="B19" s="2" t="s">
        <v>51</v>
      </c>
      <c r="C19" s="3" t="s">
        <v>10</v>
      </c>
      <c r="D19" s="3" t="s">
        <v>52</v>
      </c>
      <c r="E19" s="7">
        <v>150</v>
      </c>
      <c r="F19" s="7" t="str">
        <f t="shared" si="0"/>
        <v>Asus Laptop</v>
      </c>
      <c r="G19" s="3">
        <v>10</v>
      </c>
      <c r="H19" s="3"/>
      <c r="I19" s="3" t="s">
        <v>12</v>
      </c>
      <c r="J19" s="2" t="str">
        <f>D19 &amp; " " &amp; C19</f>
        <v>Asus Laptop</v>
      </c>
    </row>
    <row r="20" spans="1:10" ht="15.75" customHeight="1">
      <c r="A20" s="10">
        <v>46082</v>
      </c>
      <c r="B20" s="2" t="s">
        <v>25</v>
      </c>
      <c r="C20" s="2" t="s">
        <v>53</v>
      </c>
      <c r="D20" s="2" t="s">
        <v>54</v>
      </c>
      <c r="E20" s="7">
        <v>250</v>
      </c>
      <c r="F20" s="7" t="str">
        <f t="shared" si="0"/>
        <v>Oakley Sunglasses</v>
      </c>
      <c r="G20" s="2">
        <v>15</v>
      </c>
      <c r="H20" s="2"/>
      <c r="I20" s="2" t="s">
        <v>16</v>
      </c>
      <c r="J20" s="2" t="str">
        <f>D20 &amp; " " &amp; C20</f>
        <v>Oakley Sunglasses</v>
      </c>
    </row>
    <row r="21" spans="1:10" ht="15.75" customHeight="1">
      <c r="A21" s="10">
        <v>46248</v>
      </c>
      <c r="B21" s="2" t="s">
        <v>9</v>
      </c>
      <c r="C21" s="3" t="s">
        <v>55</v>
      </c>
      <c r="D21" s="3" t="s">
        <v>56</v>
      </c>
      <c r="E21" s="7">
        <v>50</v>
      </c>
      <c r="F21" s="7" t="str">
        <f t="shared" si="0"/>
        <v>Coleman Camping Tent</v>
      </c>
      <c r="G21" s="3">
        <v>10</v>
      </c>
      <c r="H21" s="3"/>
      <c r="I21" s="3" t="s">
        <v>24</v>
      </c>
      <c r="J21" s="2" t="str">
        <f>D21 &amp; " " &amp; C21</f>
        <v>Coleman Camping Tent</v>
      </c>
    </row>
    <row r="22" spans="1:10" ht="15.75" customHeight="1">
      <c r="A22" s="10">
        <v>46156</v>
      </c>
      <c r="B22" s="2" t="s">
        <v>57</v>
      </c>
      <c r="C22" s="2" t="s">
        <v>58</v>
      </c>
      <c r="D22" s="2" t="s">
        <v>59</v>
      </c>
      <c r="E22" s="7">
        <v>160</v>
      </c>
      <c r="F22" s="7" t="str">
        <f t="shared" si="0"/>
        <v>Nikon Camera</v>
      </c>
      <c r="G22" s="2">
        <v>50</v>
      </c>
      <c r="H22" s="2"/>
      <c r="I22" s="2" t="s">
        <v>12</v>
      </c>
      <c r="J22" s="2" t="str">
        <f>D22 &amp; " " &amp; C22</f>
        <v>Nikon Camera</v>
      </c>
    </row>
    <row r="23" spans="1:10" ht="15.75" customHeight="1">
      <c r="A23" s="10">
        <v>46031</v>
      </c>
      <c r="B23" s="2" t="s">
        <v>41</v>
      </c>
      <c r="C23" s="3" t="s">
        <v>60</v>
      </c>
      <c r="D23" s="3" t="s">
        <v>61</v>
      </c>
      <c r="E23" s="7">
        <v>980</v>
      </c>
      <c r="F23" s="7" t="str">
        <f t="shared" si="0"/>
        <v>Panasonic Microwave</v>
      </c>
      <c r="G23" s="3">
        <v>20</v>
      </c>
      <c r="H23" s="3"/>
      <c r="I23" s="3" t="s">
        <v>19</v>
      </c>
      <c r="J23" s="2" t="str">
        <f>D23 &amp; " " &amp; C23</f>
        <v>Panasonic Microwave</v>
      </c>
    </row>
    <row r="24" spans="1:10" ht="15.75" customHeight="1">
      <c r="A24" s="10">
        <v>46222</v>
      </c>
      <c r="B24" s="2" t="s">
        <v>62</v>
      </c>
      <c r="C24" s="2" t="s">
        <v>63</v>
      </c>
      <c r="D24" s="2" t="s">
        <v>64</v>
      </c>
      <c r="E24" s="7">
        <v>150</v>
      </c>
      <c r="F24" s="7" t="str">
        <f t="shared" si="0"/>
        <v>Xiaomi Fitness Tracker</v>
      </c>
      <c r="G24" s="2">
        <v>30</v>
      </c>
      <c r="H24" s="2"/>
      <c r="I24" s="2" t="s">
        <v>12</v>
      </c>
      <c r="J24" s="2" t="str">
        <f>D24 &amp; " " &amp; C24</f>
        <v>Xiaomi Fitness Tracker</v>
      </c>
    </row>
    <row r="25" spans="1:10" ht="15.75" customHeight="1">
      <c r="A25" s="10">
        <v>46255</v>
      </c>
      <c r="B25" s="2" t="s">
        <v>41</v>
      </c>
      <c r="C25" s="3" t="s">
        <v>46</v>
      </c>
      <c r="D25" s="3" t="s">
        <v>47</v>
      </c>
      <c r="E25" s="7">
        <v>50</v>
      </c>
      <c r="F25" s="7" t="str">
        <f t="shared" si="0"/>
        <v>Samsonite Laptop Bag</v>
      </c>
      <c r="G25" s="3">
        <v>35</v>
      </c>
      <c r="H25" s="3"/>
      <c r="I25" s="3" t="s">
        <v>48</v>
      </c>
      <c r="J25" s="2" t="str">
        <f>D25 &amp; " " &amp; C25</f>
        <v>Samsonite Laptop Bag</v>
      </c>
    </row>
    <row r="26" spans="1:10" ht="15.75" customHeight="1">
      <c r="A26" s="10">
        <v>46294</v>
      </c>
      <c r="B26" s="2" t="s">
        <v>41</v>
      </c>
      <c r="C26" s="2" t="s">
        <v>20</v>
      </c>
      <c r="D26" s="2" t="s">
        <v>65</v>
      </c>
      <c r="E26" s="7">
        <v>800</v>
      </c>
      <c r="F26" s="7" t="str">
        <f t="shared" si="0"/>
        <v>Google Smartphone</v>
      </c>
      <c r="G26" s="2">
        <v>45</v>
      </c>
      <c r="H26" s="2"/>
      <c r="I26" s="2" t="s">
        <v>12</v>
      </c>
      <c r="J26" s="2" t="str">
        <f>D26 &amp; " " &amp; C26</f>
        <v>Google Smartphone</v>
      </c>
    </row>
    <row r="27" spans="1:10" ht="15.75" customHeight="1">
      <c r="A27" s="10">
        <v>46200</v>
      </c>
      <c r="B27" s="2" t="s">
        <v>41</v>
      </c>
      <c r="C27" s="3" t="s">
        <v>53</v>
      </c>
      <c r="D27" s="3" t="s">
        <v>66</v>
      </c>
      <c r="E27" s="7">
        <v>120</v>
      </c>
      <c r="F27" s="7" t="str">
        <f t="shared" si="0"/>
        <v>Ray-Ban Sunglasses</v>
      </c>
      <c r="G27" s="3">
        <v>25</v>
      </c>
      <c r="H27" s="3"/>
      <c r="I27" s="3" t="s">
        <v>16</v>
      </c>
      <c r="J27" s="2" t="str">
        <f>D27 &amp; " " &amp; C27</f>
        <v>Ray-Ban Sunglasses</v>
      </c>
    </row>
    <row r="28" spans="1:10" ht="15.75" customHeight="1">
      <c r="A28" s="10">
        <v>46214</v>
      </c>
      <c r="B28" s="2" t="s">
        <v>41</v>
      </c>
      <c r="C28" s="2" t="s">
        <v>30</v>
      </c>
      <c r="D28" s="2" t="s">
        <v>67</v>
      </c>
      <c r="E28" s="7">
        <v>400</v>
      </c>
      <c r="F28" s="7" t="str">
        <f t="shared" si="0"/>
        <v>Vitamix Blender</v>
      </c>
      <c r="G28" s="2">
        <v>40</v>
      </c>
      <c r="H28" s="2"/>
      <c r="I28" s="2" t="s">
        <v>19</v>
      </c>
      <c r="J28" s="2" t="str">
        <f>D28 &amp; " " &amp; C28</f>
        <v>Vitamix Blender</v>
      </c>
    </row>
    <row r="29" spans="1:10" ht="15.75" customHeight="1">
      <c r="A29" s="10">
        <v>46128</v>
      </c>
      <c r="B29" s="2" t="s">
        <v>44</v>
      </c>
      <c r="C29" s="3" t="s">
        <v>26</v>
      </c>
      <c r="D29" s="3" t="s">
        <v>45</v>
      </c>
      <c r="E29" s="7">
        <v>250</v>
      </c>
      <c r="F29" s="7" t="str">
        <f t="shared" si="0"/>
        <v>Bose Headphones</v>
      </c>
      <c r="G29" s="3">
        <v>20</v>
      </c>
      <c r="H29" s="3"/>
      <c r="I29" s="3" t="s">
        <v>12</v>
      </c>
      <c r="J29" s="2" t="str">
        <f>D29 &amp; " " &amp; C29</f>
        <v>Bose Headphones</v>
      </c>
    </row>
    <row r="30" spans="1:10" ht="15.75" customHeight="1">
      <c r="A30" s="10">
        <v>46098</v>
      </c>
      <c r="B30" s="2" t="s">
        <v>41</v>
      </c>
      <c r="C30" s="2" t="s">
        <v>68</v>
      </c>
      <c r="D30" s="2" t="s">
        <v>69</v>
      </c>
      <c r="E30" s="7">
        <v>60</v>
      </c>
      <c r="F30" s="7" t="str">
        <f t="shared" si="0"/>
        <v>Zara Dress</v>
      </c>
      <c r="G30" s="2">
        <v>30</v>
      </c>
      <c r="H30" s="2"/>
      <c r="I30" s="2" t="s">
        <v>16</v>
      </c>
      <c r="J30" s="2" t="str">
        <f>D30 &amp; " " &amp; C30</f>
        <v>Zara Dress</v>
      </c>
    </row>
    <row r="31" spans="1:10" ht="15.75" customHeight="1">
      <c r="A31" s="10">
        <v>46125</v>
      </c>
      <c r="B31" s="2" t="s">
        <v>41</v>
      </c>
      <c r="C31" s="3" t="s">
        <v>70</v>
      </c>
      <c r="D31" s="3" t="s">
        <v>71</v>
      </c>
      <c r="E31" s="7">
        <v>40</v>
      </c>
      <c r="F31" s="7" t="str">
        <f t="shared" si="0"/>
        <v>Hamilton Toaster</v>
      </c>
      <c r="G31" s="3">
        <v>10</v>
      </c>
      <c r="H31" s="3"/>
      <c r="I31" s="3" t="s">
        <v>19</v>
      </c>
      <c r="J31" s="2" t="str">
        <f>D31 &amp; " " &amp; C31</f>
        <v>Hamilton Toaster</v>
      </c>
    </row>
    <row r="32" spans="1:10" ht="15.75" customHeight="1">
      <c r="A32" s="10">
        <v>46166</v>
      </c>
      <c r="B32" s="2" t="s">
        <v>41</v>
      </c>
      <c r="C32" s="2" t="s">
        <v>63</v>
      </c>
      <c r="D32" s="2" t="s">
        <v>72</v>
      </c>
      <c r="E32" s="7">
        <v>130</v>
      </c>
      <c r="F32" s="7" t="str">
        <f t="shared" si="0"/>
        <v>Garmin Fitness Tracker</v>
      </c>
      <c r="G32" s="2">
        <v>5</v>
      </c>
      <c r="H32" s="2"/>
      <c r="I32" s="2" t="s">
        <v>12</v>
      </c>
      <c r="J32" s="2" t="str">
        <f>D32 &amp; " " &amp; C32</f>
        <v>Garmin Fitness Tracker</v>
      </c>
    </row>
    <row r="33" spans="1:18" ht="15.75" customHeight="1">
      <c r="A33" s="10">
        <v>46358</v>
      </c>
      <c r="B33" s="2" t="s">
        <v>41</v>
      </c>
      <c r="C33" s="3" t="s">
        <v>73</v>
      </c>
      <c r="D33" s="3" t="s">
        <v>74</v>
      </c>
      <c r="E33" s="7">
        <v>50</v>
      </c>
      <c r="F33" s="7" t="str">
        <f t="shared" si="0"/>
        <v>Levi's Jeans</v>
      </c>
      <c r="G33" s="3">
        <v>25</v>
      </c>
      <c r="H33" s="3"/>
      <c r="I33" s="3" t="s">
        <v>12</v>
      </c>
      <c r="J33" s="2" t="str">
        <f>D33 &amp; " " &amp; C33</f>
        <v>Levi's Jeans</v>
      </c>
    </row>
    <row r="34" spans="1:18" ht="15.75" customHeight="1">
      <c r="A34" s="10">
        <v>46190</v>
      </c>
      <c r="B34" s="2" t="s">
        <v>36</v>
      </c>
      <c r="C34" s="2" t="s">
        <v>10</v>
      </c>
      <c r="D34" s="2" t="s">
        <v>37</v>
      </c>
      <c r="E34" s="7">
        <v>950</v>
      </c>
      <c r="F34" s="7" t="str">
        <f t="shared" si="0"/>
        <v>HP Laptop</v>
      </c>
      <c r="G34" s="2">
        <v>50</v>
      </c>
      <c r="H34" s="2"/>
      <c r="I34" s="2" t="s">
        <v>16</v>
      </c>
      <c r="J34" s="2" t="str">
        <f>D34 &amp; " " &amp; C34</f>
        <v>HP Laptop</v>
      </c>
    </row>
    <row r="35" spans="1:18" ht="15.75" customHeight="1">
      <c r="A35" s="10">
        <v>46212</v>
      </c>
      <c r="B35" s="2" t="s">
        <v>75</v>
      </c>
      <c r="C35" s="3" t="s">
        <v>76</v>
      </c>
      <c r="D35" s="3" t="s">
        <v>77</v>
      </c>
      <c r="E35" s="7">
        <v>100</v>
      </c>
      <c r="F35" s="7" t="str">
        <f t="shared" si="0"/>
        <v>Casio Watch</v>
      </c>
      <c r="G35" s="3">
        <v>25</v>
      </c>
      <c r="H35" s="3"/>
      <c r="I35" s="3" t="s">
        <v>12</v>
      </c>
      <c r="J35" s="2" t="str">
        <f>D35 &amp; " " &amp; C35</f>
        <v>Casio Watch</v>
      </c>
    </row>
    <row r="36" spans="1:18" ht="15.75" customHeight="1">
      <c r="A36" s="10"/>
      <c r="J36" t="str">
        <f>D36&amp;C36</f>
        <v/>
      </c>
    </row>
    <row r="37" spans="1:18" ht="15.75" customHeight="1"/>
    <row r="38" spans="1:18" ht="15.75" customHeight="1"/>
    <row r="39" spans="1:18" ht="15.75" customHeight="1"/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>
      <c r="R48" s="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E2:E3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{42CB1798-AD0C-47B2-8959-A7D6C357DBAB}</x14:id>
        </ext>
      </extLst>
    </cfRule>
  </conditionalFormatting>
  <conditionalFormatting sqref="I1:I1048576">
    <cfRule type="containsText" dxfId="0" priority="1" operator="containsText" text="Electronics">
      <formula>NOT(ISERROR(SEARCH("Electronics",I1)))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CB1798-AD0C-47B2-8959-A7D6C357D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5864-07AF-42DD-9FBB-6CBF8D13EDB3}">
  <dimension ref="C5:F60"/>
  <sheetViews>
    <sheetView tabSelected="1" topLeftCell="A45" workbookViewId="0">
      <selection activeCell="D61" sqref="D61"/>
    </sheetView>
  </sheetViews>
  <sheetFormatPr defaultRowHeight="12"/>
  <sheetData>
    <row r="5" spans="3:6">
      <c r="F5" t="s">
        <v>78</v>
      </c>
    </row>
    <row r="8" spans="3:6">
      <c r="D8" t="s">
        <v>79</v>
      </c>
    </row>
    <row r="9" spans="3:6">
      <c r="E9" t="s">
        <v>80</v>
      </c>
    </row>
    <row r="12" spans="3:6">
      <c r="C12" t="s">
        <v>81</v>
      </c>
    </row>
    <row r="14" spans="3:6">
      <c r="D14" t="s">
        <v>82</v>
      </c>
      <c r="E14" t="s">
        <v>83</v>
      </c>
    </row>
    <row r="16" spans="3:6">
      <c r="D16" t="s">
        <v>84</v>
      </c>
    </row>
    <row r="18" spans="3:4">
      <c r="D18" t="s">
        <v>85</v>
      </c>
    </row>
    <row r="21" spans="3:4">
      <c r="C21" t="s">
        <v>86</v>
      </c>
    </row>
    <row r="23" spans="3:4">
      <c r="D23" t="s">
        <v>82</v>
      </c>
    </row>
    <row r="24" spans="3:4">
      <c r="D24" t="s">
        <v>87</v>
      </c>
    </row>
    <row r="26" spans="3:4">
      <c r="D26" t="s">
        <v>88</v>
      </c>
    </row>
    <row r="28" spans="3:4">
      <c r="D28" t="s">
        <v>89</v>
      </c>
    </row>
    <row r="29" spans="3:4">
      <c r="D29" t="s">
        <v>90</v>
      </c>
    </row>
    <row r="32" spans="3:4">
      <c r="C32" t="s">
        <v>91</v>
      </c>
    </row>
    <row r="34" spans="3:4">
      <c r="D34" t="s">
        <v>92</v>
      </c>
    </row>
    <row r="36" spans="3:4">
      <c r="D36" t="s">
        <v>93</v>
      </c>
    </row>
    <row r="38" spans="3:4">
      <c r="D38" t="s">
        <v>94</v>
      </c>
    </row>
    <row r="41" spans="3:4">
      <c r="C41" t="s">
        <v>95</v>
      </c>
    </row>
    <row r="43" spans="3:4">
      <c r="D43" t="s">
        <v>96</v>
      </c>
    </row>
    <row r="45" spans="3:4">
      <c r="D45" t="s">
        <v>97</v>
      </c>
    </row>
    <row r="46" spans="3:4">
      <c r="D46" t="s">
        <v>98</v>
      </c>
    </row>
    <row r="48" spans="3:4">
      <c r="D48" t="s">
        <v>99</v>
      </c>
    </row>
    <row r="51" spans="3:4">
      <c r="C51" t="s">
        <v>100</v>
      </c>
    </row>
    <row r="53" spans="3:4">
      <c r="D53" t="s">
        <v>101</v>
      </c>
    </row>
    <row r="55" spans="3:4">
      <c r="D55" t="s">
        <v>102</v>
      </c>
    </row>
    <row r="57" spans="3:4">
      <c r="D57" t="s">
        <v>103</v>
      </c>
    </row>
    <row r="60" spans="3:4">
      <c r="C6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2026-07-23T14:43:37Z</dcterms:created>
  <dcterms:modified xsi:type="dcterms:W3CDTF">2026-08-27T18:12:40Z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